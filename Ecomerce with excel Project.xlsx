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Folders\Data Analysis\"/>
    </mc:Choice>
  </mc:AlternateContent>
  <xr:revisionPtr revIDLastSave="0" documentId="13_ncr:1_{B5992633-9D06-48AD-97D3-D1EC5228161B}" xr6:coauthVersionLast="47" xr6:coauthVersionMax="47" xr10:uidLastSave="{00000000-0000-0000-0000-000000000000}"/>
  <bookViews>
    <workbookView xWindow="-120" yWindow="-120" windowWidth="20730" windowHeight="11160" activeTab="1" xr2:uid="{BC41C44F-3CB2-4CD6-8497-255D6AA45950}"/>
  </bookViews>
  <sheets>
    <sheet name="Analysis" sheetId="18" r:id="rId1"/>
    <sheet name="CleanDataset" sheetId="17" r:id="rId2"/>
    <sheet name="Dashboard" sheetId="16" r:id="rId3"/>
  </sheets>
  <definedNames>
    <definedName name="ExternalData_1" localSheetId="1" hidden="1">CleanDataset!$A$1:$I$15</definedName>
    <definedName name="Slicer_Category">#N/A</definedName>
    <definedName name="Slicer_Product">#N/A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16" l="1"/>
  <c r="E3" i="16"/>
  <c r="G16" i="17"/>
  <c r="I22" i="17"/>
  <c r="I20" i="17"/>
  <c r="I16" i="17"/>
  <c r="H16" i="17"/>
  <c r="I18" i="17" s="1"/>
  <c r="H20" i="18"/>
  <c r="E29" i="18"/>
  <c r="H22" i="18"/>
  <c r="C24" i="18"/>
  <c r="D26" i="18"/>
  <c r="E26" i="18"/>
  <c r="C26" i="18"/>
  <c r="F24" i="18"/>
  <c r="H24" i="18"/>
  <c r="G26" i="18"/>
  <c r="G3"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B59CC6-55B3-47B7-AC8F-646AE962B1BD}" keepAlive="1" name="Query - Table10" description="Connection to the 'Table10' query in the workbook." type="5" refreshedVersion="8" background="1" saveData="1">
    <dbPr connection="Provider=Microsoft.Mashup.OleDb.1;Data Source=$Workbook$;Location=Table10;Extended Properties=&quot;&quot;" command="SELECT * FROM [Table10]"/>
  </connection>
  <connection id="2" xr16:uid="{7843A2C6-BF28-4941-9FAD-422169856FD4}"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 id="3" xr16:uid="{20C22CF5-4BAD-40E9-9101-08B3D1C3CA18}"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BB0D2CA6-1019-4B55-A984-DC7331EAF4B2}"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<sst xmlns="http://schemas.openxmlformats.org/spreadsheetml/2006/main" count="131" uniqueCount="51">
  <si>
    <t>Order ID</t>
  </si>
  <si>
    <t>Customer</t>
  </si>
  <si>
    <t>Product</t>
  </si>
  <si>
    <t>Category</t>
  </si>
  <si>
    <t>Region</t>
  </si>
  <si>
    <t>Quantity</t>
  </si>
  <si>
    <t>Revenue</t>
  </si>
  <si>
    <t>Profit</t>
  </si>
  <si>
    <t>Laptop</t>
  </si>
  <si>
    <t>Electronics</t>
  </si>
  <si>
    <t>Lagos</t>
  </si>
  <si>
    <t>Phone</t>
  </si>
  <si>
    <t>Abuja</t>
  </si>
  <si>
    <t>Chair</t>
  </si>
  <si>
    <t>Furniture</t>
  </si>
  <si>
    <t>Desk</t>
  </si>
  <si>
    <t>Port Harcourt</t>
  </si>
  <si>
    <t>Monitor</t>
  </si>
  <si>
    <t>John Doe</t>
  </si>
  <si>
    <t>Mary Jane</t>
  </si>
  <si>
    <t>David Smith</t>
  </si>
  <si>
    <t>Sarah Williams</t>
  </si>
  <si>
    <t>Peter Parker</t>
  </si>
  <si>
    <t>Grace Brown</t>
  </si>
  <si>
    <t>Sum of Revenue</t>
  </si>
  <si>
    <t>Row Labels</t>
  </si>
  <si>
    <t>Grand Total</t>
  </si>
  <si>
    <t>Sum of Profit</t>
  </si>
  <si>
    <t>Jan</t>
  </si>
  <si>
    <t>Mar</t>
  </si>
  <si>
    <t>Feb</t>
  </si>
  <si>
    <t xml:space="preserve">Profit Margin = </t>
  </si>
  <si>
    <t>Order Date</t>
  </si>
  <si>
    <t xml:space="preserve">Avg. Prof. per Order =  </t>
  </si>
  <si>
    <t xml:space="preserve">Avg. Rev. per order = </t>
  </si>
  <si>
    <t>Sum of Quantity</t>
  </si>
  <si>
    <t xml:space="preserve">Laptop contribution in rev. = </t>
  </si>
  <si>
    <t xml:space="preserve">Laptop contribution in Prof. = </t>
  </si>
  <si>
    <t xml:space="preserve">Phone profit margin =  </t>
  </si>
  <si>
    <t>Laptop Profit margin =</t>
  </si>
  <si>
    <t xml:space="preserve">Abuja rev. per order = </t>
  </si>
  <si>
    <t xml:space="preserve">Lagos rev. per order = </t>
  </si>
  <si>
    <t>Abuja PM =</t>
  </si>
  <si>
    <t>Lagos Profit margin =</t>
  </si>
  <si>
    <t xml:space="preserve">P.H Pm = </t>
  </si>
  <si>
    <t xml:space="preserve">Lagos percent in rev. =  </t>
  </si>
  <si>
    <t xml:space="preserve">Total Profit: </t>
  </si>
  <si>
    <t xml:space="preserve">Total Revenue:      </t>
  </si>
  <si>
    <t xml:space="preserve">Profit Margin: </t>
  </si>
  <si>
    <t xml:space="preserve">Total Num. of Orders: </t>
  </si>
  <si>
    <r>
      <t xml:space="preserve">                                            </t>
    </r>
    <r>
      <rPr>
        <b/>
        <sz val="16"/>
        <color theme="1"/>
        <rFont val="Calibri Light"/>
        <family val="2"/>
        <scheme val="major"/>
      </rPr>
      <t>Q1 2026 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</si>
</sst>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7"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4"/>
      <color theme="1"/>
      <name val="Calibri"/>
      <family val="2"/>
      <scheme val="minor"/>
    </font>
    <font>
      <b/>
      <sz val="14"/>
      <color theme="9" tint="-0.499984740745262"/>
      <name val="Calibri"/>
      <family val="2"/>
      <scheme val="minor"/>
    </font>
    <font>
      <b/>
      <sz val="16"/>
      <color theme="1"/>
      <name val="Calibri Light"/>
      <family val="2"/>
      <scheme val="major"/>
    </font>
  </fonts>
  <fills count="4">
    <fill>
      <patternFill patternType="none"/>
    </fill>
    <fill>
      <patternFill patternType="gray125"/>
    </fill>
    <fill>
      <patternFill patternType="solid">
        <fgColor theme="4" tint="0.79998168889431442"/>
        <bgColor indexed="64"/>
      </patternFill>
    </fill>
    <fill>
      <patternFill patternType="solid">
        <fgColor rgb="FF00B0F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164" fontId="0" fillId="0" borderId="0" xfId="0" applyNumberFormat="1"/>
    <xf numFmtId="0" fontId="0" fillId="0" borderId="0" xfId="0" applyAlignment="1">
      <alignment horizontal="right" vertical="center" wrapText="1"/>
    </xf>
    <xf numFmtId="167" fontId="0" fillId="0" borderId="0" xfId="1" applyNumberFormat="1" applyFont="1"/>
    <xf numFmtId="0" fontId="0" fillId="0" borderId="0" xfId="0" pivotButton="1"/>
    <xf numFmtId="0" fontId="0" fillId="0" borderId="0" xfId="0" applyAlignment="1">
      <alignment horizontal="left"/>
    </xf>
    <xf numFmtId="22" fontId="0" fillId="0" borderId="0" xfId="0" applyNumberFormat="1"/>
    <xf numFmtId="164" fontId="5" fillId="2" borderId="0" xfId="0" applyNumberFormat="1" applyFont="1" applyFill="1" applyAlignment="1">
      <alignment vertical="center" wrapText="1"/>
    </xf>
    <xf numFmtId="0" fontId="4" fillId="0" borderId="0" xfId="0" applyFont="1" applyAlignment="1">
      <alignment horizontal="center"/>
    </xf>
    <xf numFmtId="0" fontId="4" fillId="0" borderId="0" xfId="0" applyFont="1"/>
    <xf numFmtId="0" fontId="3" fillId="3" borderId="0" xfId="0" applyFont="1" applyFill="1" applyAlignment="1">
      <alignment vertical="center" wrapText="1"/>
    </xf>
    <xf numFmtId="0" fontId="3" fillId="3" borderId="0" xfId="0" applyFont="1" applyFill="1" applyAlignment="1">
      <alignment vertical="center"/>
    </xf>
    <xf numFmtId="1" fontId="5" fillId="2" borderId="0" xfId="1" applyNumberFormat="1" applyFont="1" applyFill="1" applyAlignment="1">
      <alignment vertical="center" wrapText="1"/>
    </xf>
    <xf numFmtId="0" fontId="0" fillId="0" borderId="0" xfId="0" applyNumberFormat="1"/>
    <xf numFmtId="167" fontId="5" fillId="2" borderId="0" xfId="1" applyNumberFormat="1" applyFont="1" applyFill="1" applyAlignment="1">
      <alignment vertical="center" wrapText="1"/>
    </xf>
  </cellXfs>
  <cellStyles count="2">
    <cellStyle name="Normal" xfId="0" builtinId="0"/>
    <cellStyle name="Percent" xfId="1" builtinId="5"/>
  </cellStyles>
  <dxfs count="10">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s>
  <tableStyles count="1" defaultTableStyle="TableStyleMedium2" defaultPivotStyle="PivotStyleLight16">
    <tableStyle name="Slicer Style 1" pivot="0" table="0" count="0" xr9:uid="{291323D1-A72A-479D-A8D1-2FD62941381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[Ecomerce with excel Project.xlsx]Analysis!PivotTable1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495409004107"/>
          <c:y val="0.23775641025641026"/>
          <c:w val="0.75365300267699098"/>
          <c:h val="0.61353674540682412"/>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Lagos</c:v>
                </c:pt>
                <c:pt idx="1">
                  <c:v>Abuja</c:v>
                </c:pt>
                <c:pt idx="2">
                  <c:v>Port Harcourt</c:v>
                </c:pt>
              </c:strCache>
            </c:strRef>
          </c:cat>
          <c:val>
            <c:numRef>
              <c:f>Analysis!$B$4:$B$7</c:f>
              <c:numCache>
                <c:formatCode>"₦"#,##0</c:formatCode>
                <c:ptCount val="3"/>
                <c:pt idx="0">
                  <c:v>2430000</c:v>
                </c:pt>
                <c:pt idx="1">
                  <c:v>940000</c:v>
                </c:pt>
                <c:pt idx="2">
                  <c:v>450000</c:v>
                </c:pt>
              </c:numCache>
            </c:numRef>
          </c:val>
          <c:extLst>
            <c:ext xmlns:c16="http://schemas.microsoft.com/office/drawing/2014/chart" uri="{C3380CC4-5D6E-409C-BE32-E72D297353CC}">
              <c16:uniqueId val="{00000000-4E4E-4A01-A115-205C87D35BA7}"/>
            </c:ext>
          </c:extLst>
        </c:ser>
        <c:dLbls>
          <c:showLegendKey val="0"/>
          <c:showVal val="0"/>
          <c:showCatName val="0"/>
          <c:showSerName val="0"/>
          <c:showPercent val="0"/>
          <c:showBubbleSize val="0"/>
        </c:dLbls>
        <c:gapWidth val="219"/>
        <c:overlap val="-27"/>
        <c:axId val="1403492096"/>
        <c:axId val="1403493056"/>
      </c:barChart>
      <c:catAx>
        <c:axId val="140349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3493056"/>
        <c:crosses val="autoZero"/>
        <c:auto val="1"/>
        <c:lblAlgn val="ctr"/>
        <c:lblOffset val="100"/>
        <c:noMultiLvlLbl val="0"/>
      </c:catAx>
      <c:valAx>
        <c:axId val="140349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34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[Ecomerce with excel Project.xlsx]Analysis!PivotTable9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2314085739282"/>
          <c:y val="0.19384040536599587"/>
          <c:w val="0.80502274715660538"/>
          <c:h val="0.66635279965004379"/>
        </c:manualLayout>
      </c:layout>
      <c:barChart>
        <c:barDir val="bar"/>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Analysis!$G$4:$G$9</c:f>
              <c:strCache>
                <c:ptCount val="5"/>
                <c:pt idx="0">
                  <c:v>Laptop</c:v>
                </c:pt>
                <c:pt idx="1">
                  <c:v>Phone</c:v>
                </c:pt>
                <c:pt idx="2">
                  <c:v>Desk</c:v>
                </c:pt>
                <c:pt idx="3">
                  <c:v>Chair</c:v>
                </c:pt>
                <c:pt idx="4">
                  <c:v>Monitor</c:v>
                </c:pt>
              </c:strCache>
            </c:strRef>
          </c:cat>
          <c:val>
            <c:numRef>
              <c:f>Analysis!$H$4:$H$9</c:f>
              <c:numCache>
                <c:formatCode>"₦"#,##0</c:formatCode>
                <c:ptCount val="5"/>
                <c:pt idx="0">
                  <c:v>210000</c:v>
                </c:pt>
                <c:pt idx="1">
                  <c:v>150000</c:v>
                </c:pt>
                <c:pt idx="2">
                  <c:v>93000</c:v>
                </c:pt>
                <c:pt idx="3">
                  <c:v>80000</c:v>
                </c:pt>
                <c:pt idx="4">
                  <c:v>70000</c:v>
                </c:pt>
              </c:numCache>
            </c:numRef>
          </c:val>
          <c:extLst>
            <c:ext xmlns:c16="http://schemas.microsoft.com/office/drawing/2014/chart" uri="{C3380CC4-5D6E-409C-BE32-E72D297353CC}">
              <c16:uniqueId val="{00000000-5744-4560-8D1B-DDEA228FB938}"/>
            </c:ext>
          </c:extLst>
        </c:ser>
        <c:dLbls>
          <c:showLegendKey val="0"/>
          <c:showVal val="0"/>
          <c:showCatName val="0"/>
          <c:showSerName val="0"/>
          <c:showPercent val="0"/>
          <c:showBubbleSize val="0"/>
        </c:dLbls>
        <c:gapWidth val="182"/>
        <c:axId val="1662632320"/>
        <c:axId val="1662618880"/>
      </c:barChart>
      <c:catAx>
        <c:axId val="166263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2618880"/>
        <c:crosses val="autoZero"/>
        <c:auto val="1"/>
        <c:lblAlgn val="ctr"/>
        <c:lblOffset val="100"/>
        <c:noMultiLvlLbl val="0"/>
      </c:catAx>
      <c:valAx>
        <c:axId val="166261888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26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[Ecomerce with excel Project.xlsx]Analysis!PivotTable5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Monthly </a:t>
            </a:r>
            <a:r>
              <a:rPr lang="en-US" sz="1400" b="1"/>
              <a:t>Revenue</a:t>
            </a:r>
            <a:r>
              <a:rPr lang="en-US" sz="1400" b="1" baseline="0"/>
              <a:t> </a:t>
            </a:r>
            <a:endParaRPr lang="en-US" sz="1400" b="1"/>
          </a:p>
        </c:rich>
      </c:tx>
      <c:layout>
        <c:manualLayout>
          <c:xMode val="edge"/>
          <c:yMode val="edge"/>
          <c:x val="0.35930428407400838"/>
          <c:y val="6.262766619618294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28575" cap="rnd">
              <a:solidFill>
                <a:schemeClr val="accent1"/>
              </a:solidFill>
              <a:round/>
            </a:ln>
            <a:effectLst/>
          </c:spPr>
          <c:marker>
            <c:symbol val="none"/>
          </c:marker>
          <c:cat>
            <c:strRef>
              <c:f>Analysis!$A$18:$A$21</c:f>
              <c:strCache>
                <c:ptCount val="3"/>
                <c:pt idx="0">
                  <c:v>Jan</c:v>
                </c:pt>
                <c:pt idx="1">
                  <c:v>Feb</c:v>
                </c:pt>
                <c:pt idx="2">
                  <c:v>Mar</c:v>
                </c:pt>
              </c:strCache>
            </c:strRef>
          </c:cat>
          <c:val>
            <c:numRef>
              <c:f>Analysis!$B$18:$B$21</c:f>
              <c:numCache>
                <c:formatCode>"₦"#,##0</c:formatCode>
                <c:ptCount val="3"/>
                <c:pt idx="0">
                  <c:v>1300000</c:v>
                </c:pt>
                <c:pt idx="1">
                  <c:v>830000</c:v>
                </c:pt>
                <c:pt idx="2">
                  <c:v>1690000</c:v>
                </c:pt>
              </c:numCache>
            </c:numRef>
          </c:val>
          <c:smooth val="0"/>
          <c:extLst>
            <c:ext xmlns:c16="http://schemas.microsoft.com/office/drawing/2014/chart" uri="{C3380CC4-5D6E-409C-BE32-E72D297353CC}">
              <c16:uniqueId val="{00000000-2E1B-4334-AB65-4E3A0E9AF183}"/>
            </c:ext>
          </c:extLst>
        </c:ser>
        <c:dLbls>
          <c:showLegendKey val="0"/>
          <c:showVal val="0"/>
          <c:showCatName val="0"/>
          <c:showSerName val="0"/>
          <c:showPercent val="0"/>
          <c:showBubbleSize val="0"/>
        </c:dLbls>
        <c:smooth val="0"/>
        <c:axId val="1662623200"/>
        <c:axId val="1662620320"/>
      </c:lineChart>
      <c:catAx>
        <c:axId val="166262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2620320"/>
        <c:crosses val="autoZero"/>
        <c:auto val="1"/>
        <c:lblAlgn val="ctr"/>
        <c:lblOffset val="100"/>
        <c:noMultiLvlLbl val="0"/>
      </c:catAx>
      <c:valAx>
        <c:axId val="16626203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26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47626</xdr:colOff>
      <xdr:row>9</xdr:row>
      <xdr:rowOff>66675</xdr:rowOff>
    </xdr:from>
    <xdr:to>
      <xdr:col>5</xdr:col>
      <xdr:colOff>847725</xdr:colOff>
      <xdr:row>18</xdr:row>
      <xdr:rowOff>171449</xdr:rowOff>
    </xdr:to>
    <xdr:graphicFrame macro="">
      <xdr:nvGraphicFramePr>
        <xdr:cNvPr id="3" name="Chart 2">
          <a:extLst>
            <a:ext uri="{FF2B5EF4-FFF2-40B4-BE49-F238E27FC236}">
              <a16:creationId xmlns:a16="http://schemas.microsoft.com/office/drawing/2014/main" id="{7B5AC797-67F1-4485-968E-D2EA1F43E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9</xdr:row>
      <xdr:rowOff>133350</xdr:rowOff>
    </xdr:from>
    <xdr:to>
      <xdr:col>8</xdr:col>
      <xdr:colOff>1</xdr:colOff>
      <xdr:row>19</xdr:row>
      <xdr:rowOff>19050</xdr:rowOff>
    </xdr:to>
    <xdr:graphicFrame macro="">
      <xdr:nvGraphicFramePr>
        <xdr:cNvPr id="4" name="Chart 3">
          <a:extLst>
            <a:ext uri="{FF2B5EF4-FFF2-40B4-BE49-F238E27FC236}">
              <a16:creationId xmlns:a16="http://schemas.microsoft.com/office/drawing/2014/main" id="{5560D209-FF8C-4183-AB9E-0948A8D62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252684</xdr:colOff>
      <xdr:row>19</xdr:row>
      <xdr:rowOff>56189</xdr:rowOff>
    </xdr:from>
    <xdr:to>
      <xdr:col>7</xdr:col>
      <xdr:colOff>878345</xdr:colOff>
      <xdr:row>28</xdr:row>
      <xdr:rowOff>141913</xdr:rowOff>
    </xdr:to>
    <xdr:graphicFrame macro="">
      <xdr:nvGraphicFramePr>
        <xdr:cNvPr id="5" name="Chart 4">
          <a:extLst>
            <a:ext uri="{FF2B5EF4-FFF2-40B4-BE49-F238E27FC236}">
              <a16:creationId xmlns:a16="http://schemas.microsoft.com/office/drawing/2014/main" id="{FDEE6D7D-A7E6-4967-A21E-E7C709AE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9525</xdr:colOff>
      <xdr:row>3</xdr:row>
      <xdr:rowOff>152401</xdr:rowOff>
    </xdr:from>
    <xdr:to>
      <xdr:col>5</xdr:col>
      <xdr:colOff>107022</xdr:colOff>
      <xdr:row>8</xdr:row>
      <xdr:rowOff>38100</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13360894-61D3-4B7C-8F7E-0AD16C4A27D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69019" y="1115603"/>
              <a:ext cx="1692519" cy="8489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292063</xdr:colOff>
      <xdr:row>3</xdr:row>
      <xdr:rowOff>164280</xdr:rowOff>
    </xdr:from>
    <xdr:to>
      <xdr:col>6</xdr:col>
      <xdr:colOff>720688</xdr:colOff>
      <xdr:row>8</xdr:row>
      <xdr:rowOff>59504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6126D66-6935-48FF-A97F-8598BDBA34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06726" y="1127482"/>
              <a:ext cx="1648681" cy="8584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931096</xdr:colOff>
      <xdr:row>3</xdr:row>
      <xdr:rowOff>142875</xdr:rowOff>
    </xdr:from>
    <xdr:to>
      <xdr:col>7</xdr:col>
      <xdr:colOff>1371600</xdr:colOff>
      <xdr:row>8</xdr:row>
      <xdr:rowOff>47625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CDEC604-B33B-4E9D-BC71-A883BD1924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7244" y="1106077"/>
              <a:ext cx="1546154" cy="8679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883479</xdr:colOff>
      <xdr:row>28</xdr:row>
      <xdr:rowOff>69022</xdr:rowOff>
    </xdr:from>
    <xdr:ext cx="6819348" cy="1642373"/>
    <xdr:sp macro="" textlink="">
      <xdr:nvSpPr>
        <xdr:cNvPr id="2" name="TextBox 1">
          <a:extLst>
            <a:ext uri="{FF2B5EF4-FFF2-40B4-BE49-F238E27FC236}">
              <a16:creationId xmlns:a16="http://schemas.microsoft.com/office/drawing/2014/main" id="{B304664B-FC7B-1B3F-4172-F236C7F690AC}"/>
            </a:ext>
          </a:extLst>
        </xdr:cNvPr>
        <xdr:cNvSpPr txBox="1"/>
      </xdr:nvSpPr>
      <xdr:spPr>
        <a:xfrm>
          <a:off x="4058479" y="5866848"/>
          <a:ext cx="6819348"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t>Management Summary</a:t>
          </a:r>
          <a:endParaRPr lang="en-US"/>
        </a:p>
        <a:p>
          <a:r>
            <a:rPr lang="en-US"/>
            <a:t>Q1 recorded </a:t>
          </a:r>
          <a:r>
            <a:rPr lang="en-US" b="1"/>
            <a:t>₦3.82M revenue</a:t>
          </a:r>
          <a:r>
            <a:rPr lang="en-US"/>
            <a:t> and </a:t>
          </a:r>
          <a:r>
            <a:rPr lang="en-US" b="1"/>
            <a:t>₦603K profit</a:t>
          </a:r>
          <a:r>
            <a:rPr lang="en-US"/>
            <a:t>, giving an overall profit margin of </a:t>
          </a:r>
          <a:r>
            <a:rPr lang="en-US" b="1"/>
            <a:t>15.79%</a:t>
          </a:r>
          <a:r>
            <a:rPr lang="en-US"/>
            <a:t> across 14 orders. </a:t>
          </a:r>
        </a:p>
        <a:p>
          <a:r>
            <a:rPr lang="en-US" b="1"/>
            <a:t>Laptops</a:t>
          </a:r>
          <a:r>
            <a:rPr lang="en-US"/>
            <a:t> generated the highest recorded revenue (</a:t>
          </a:r>
          <a:r>
            <a:rPr lang="en-US" b="1"/>
            <a:t>₦1.50M</a:t>
          </a:r>
          <a:r>
            <a:rPr lang="en-US"/>
            <a:t>) and profit (</a:t>
          </a:r>
          <a:r>
            <a:rPr lang="en-US" b="1"/>
            <a:t>₦210K</a:t>
          </a:r>
          <a:r>
            <a:rPr lang="en-US"/>
            <a:t>), while Phones recorded a higher profit margin (</a:t>
          </a:r>
          <a:r>
            <a:rPr lang="en-US" b="1"/>
            <a:t>16.7% vs. 14.0%</a:t>
          </a:r>
          <a:r>
            <a:rPr lang="en-US"/>
            <a:t> for Laptops). </a:t>
          </a:r>
        </a:p>
        <a:p>
          <a:r>
            <a:rPr lang="en-US" b="1"/>
            <a:t>Lagos</a:t>
          </a:r>
          <a:r>
            <a:rPr lang="en-US"/>
            <a:t> contributed </a:t>
          </a:r>
          <a:r>
            <a:rPr lang="en-US" b="1"/>
            <a:t>63.6% of recorded revenue</a:t>
          </a:r>
          <a:r>
            <a:rPr lang="en-US"/>
            <a:t>, while Abuja recorded the highest regional profit margin at approximately </a:t>
          </a:r>
          <a:r>
            <a:rPr lang="en-US" b="1"/>
            <a:t>18.4%</a:t>
          </a:r>
          <a:r>
            <a:rPr lang="en-US"/>
            <a:t>. </a:t>
          </a:r>
        </a:p>
        <a:p>
          <a:r>
            <a:rPr lang="en-US"/>
            <a:t>March recorded the highest monthly revenue at </a:t>
          </a:r>
          <a:r>
            <a:rPr lang="en-US" b="1"/>
            <a:t>₦1.69M</a:t>
          </a:r>
          <a:r>
            <a:rPr lang="en-US"/>
            <a:t>, following a sharp increase from February's </a:t>
          </a:r>
          <a:r>
            <a:rPr lang="en-US" b="1"/>
            <a:t>₦830K</a:t>
          </a:r>
          <a:r>
            <a:rPr lang="en-US"/>
            <a:t>. </a:t>
          </a:r>
        </a:p>
        <a:p>
          <a:r>
            <a:rPr lang="en-US" b="1"/>
            <a:t>Port Harcourt should be investigated further</a:t>
          </a:r>
          <a:r>
            <a:rPr lang="en-US"/>
            <a:t> to understand its relatively low recorded revenue and order volume.</a:t>
          </a:r>
        </a:p>
        <a:p>
          <a:endParaRPr lang="en-NG" sz="1100"/>
        </a:p>
      </xdr:txBody>
    </xdr:sp>
    <xdr:clientData/>
  </xdr:oneCellAnchor>
  <xdr:oneCellAnchor>
    <xdr:from>
      <xdr:col>3</xdr:col>
      <xdr:colOff>897302</xdr:colOff>
      <xdr:row>36</xdr:row>
      <xdr:rowOff>91585</xdr:rowOff>
    </xdr:from>
    <xdr:ext cx="6557841" cy="436786"/>
    <xdr:sp macro="" textlink="">
      <xdr:nvSpPr>
        <xdr:cNvPr id="9" name="TextBox 8">
          <a:extLst>
            <a:ext uri="{FF2B5EF4-FFF2-40B4-BE49-F238E27FC236}">
              <a16:creationId xmlns:a16="http://schemas.microsoft.com/office/drawing/2014/main" id="{EB946A30-5FFC-F8BD-D734-B7EA20664903}"/>
            </a:ext>
          </a:extLst>
        </xdr:cNvPr>
        <xdr:cNvSpPr txBox="1"/>
      </xdr:nvSpPr>
      <xdr:spPr>
        <a:xfrm>
          <a:off x="4066196" y="7107114"/>
          <a:ext cx="6557841" cy="436786"/>
        </a:xfrm>
        <a:prstGeom prst="rect">
          <a:avLst/>
        </a:prstGeom>
        <a:solidFill>
          <a:schemeClr val="accent4"/>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a:t>Data Quality Note:</a:t>
          </a:r>
          <a:r>
            <a:rPr lang="en-US"/>
            <a:t> Order 8010 contains a negative quantity (-1) and remains under investigation. Reported figures should be treated as provisional until the transaction is validated.</a:t>
          </a:r>
          <a:endParaRPr lang="en-NG"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814327777778" createdVersion="8" refreshedVersion="8" minRefreshableVersion="3" recordCount="14" xr:uid="{DC15082D-2AFF-4DC9-8AF8-38BB0A82F3CC}">
  <cacheSource type="worksheet">
    <worksheetSource name="SalesData1"/>
  </cacheSource>
  <cacheFields count="11">
    <cacheField name="Order ID" numFmtId="0">
      <sharedItems containsSemiMixedTypes="0" containsString="0" containsNumber="1" containsInteger="1" minValue="8001" maxValue="8014"/>
    </cacheField>
    <cacheField name="Order Date" numFmtId="22">
      <sharedItems containsSemiMixedTypes="0" containsNonDate="0" containsDate="1" containsString="0" minDate="2026-01-05T00:00:00" maxDate="2026-03-30T00:00:00" count="14">
        <d v="2026-01-05T00:00:00"/>
        <d v="2026-01-08T00:00:00"/>
        <d v="2026-01-12T00:00:00"/>
        <d v="2026-02-02T00:00:00"/>
        <d v="2026-02-10T00:00:00"/>
        <d v="2026-02-15T00:00:00"/>
        <d v="2026-03-03T00:00:00"/>
        <d v="2026-03-09T00:00:00"/>
        <d v="2026-03-20T00:00:00"/>
        <d v="2026-03-22T00:00:00"/>
        <d v="2026-03-25T00:00:00"/>
        <d v="2026-03-27T00:00:00"/>
        <d v="2026-03-28T00:00:00"/>
        <d v="2026-03-29T00:00:00"/>
      </sharedItems>
      <fieldGroup par="10"/>
    </cacheField>
    <cacheField name="Customer" numFmtId="0">
      <sharedItems/>
    </cacheField>
    <cacheField name="Product" numFmtId="0">
      <sharedItems count="5">
        <s v="Laptop"/>
        <s v="Phone"/>
        <s v="Chair"/>
        <s v="Desk"/>
        <s v="Monitor"/>
      </sharedItems>
    </cacheField>
    <cacheField name="Category" numFmtId="0">
      <sharedItems count="2">
        <s v="Electronics"/>
        <s v="Furniture"/>
      </sharedItems>
    </cacheField>
    <cacheField name="Region" numFmtId="0">
      <sharedItems count="3">
        <s v="Lagos"/>
        <s v="Abuja"/>
        <s v="Port Harcourt"/>
      </sharedItems>
    </cacheField>
    <cacheField name="Quantity" numFmtId="0">
      <sharedItems containsSemiMixedTypes="0" containsString="0" containsNumber="1" containsInteger="1" minValue="-1" maxValue="4"/>
    </cacheField>
    <cacheField name="Revenue" numFmtId="164">
      <sharedItems containsSemiMixedTypes="0" containsString="0" containsNumber="1" containsInteger="1" minValue="90000" maxValue="500000"/>
    </cacheField>
    <cacheField name="Profit" numFmtId="164">
      <sharedItems containsSemiMixedTypes="0" containsString="0" containsNumber="1" containsInteger="1" minValue="18000" maxValue="75000"/>
    </cacheField>
    <cacheField name="Days (Order Date)" numFmtId="0" databaseField="0">
      <fieldGroup base="1">
        <rangePr groupBy="days" startDate="2026-01-05T00:00:00" endDate="2026-03-30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6"/>
        </groupItems>
      </fieldGroup>
    </cacheField>
    <cacheField name="Months (Order Date)" numFmtId="0" databaseField="0">
      <fieldGroup base="1">
        <rangePr groupBy="months" startDate="2026-01-05T00:00:00" endDate="2026-03-30T00:00:00"/>
        <groupItems count="14">
          <s v="&lt;05/01/2026"/>
          <s v="Jan"/>
          <s v="Feb"/>
          <s v="Mar"/>
          <s v="Apr"/>
          <s v="May"/>
          <s v="Jun"/>
          <s v="Jul"/>
          <s v="Aug"/>
          <s v="Sep"/>
          <s v="Oct"/>
          <s v="Nov"/>
          <s v="Dec"/>
          <s v="&gt;30/03/2026"/>
        </groupItems>
      </fieldGroup>
    </cacheField>
  </cacheFields>
  <extLst>
    <ext xmlns:x14="http://schemas.microsoft.com/office/spreadsheetml/2009/9/main" uri="{725AE2AE-9491-48be-B2B4-4EB974FC3084}">
      <x14:pivotCacheDefinition pivotCacheId="149162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8001"/>
    <x v="0"/>
    <s v="John Doe"/>
    <x v="0"/>
    <x v="0"/>
    <x v="0"/>
    <n v="1"/>
    <n v="500000"/>
    <n v="70000"/>
  </r>
  <r>
    <n v="8002"/>
    <x v="1"/>
    <s v="Mary Jane"/>
    <x v="1"/>
    <x v="0"/>
    <x v="1"/>
    <n v="2"/>
    <n v="300000"/>
    <n v="50000"/>
  </r>
  <r>
    <n v="8003"/>
    <x v="2"/>
    <s v="David Smith"/>
    <x v="0"/>
    <x v="0"/>
    <x v="0"/>
    <n v="1"/>
    <n v="500000"/>
    <n v="70000"/>
  </r>
  <r>
    <n v="8004"/>
    <x v="3"/>
    <s v="Sarah Williams"/>
    <x v="2"/>
    <x v="1"/>
    <x v="1"/>
    <n v="4"/>
    <n v="200000"/>
    <n v="40000"/>
  </r>
  <r>
    <n v="8005"/>
    <x v="4"/>
    <s v="Peter Parker"/>
    <x v="1"/>
    <x v="0"/>
    <x v="0"/>
    <n v="3"/>
    <n v="450000"/>
    <n v="75000"/>
  </r>
  <r>
    <n v="8006"/>
    <x v="5"/>
    <s v="Grace Brown"/>
    <x v="3"/>
    <x v="1"/>
    <x v="2"/>
    <n v="2"/>
    <n v="180000"/>
    <n v="30000"/>
  </r>
  <r>
    <n v="8007"/>
    <x v="6"/>
    <s v="Mary Jane"/>
    <x v="2"/>
    <x v="1"/>
    <x v="1"/>
    <n v="2"/>
    <n v="100000"/>
    <n v="20000"/>
  </r>
  <r>
    <n v="8008"/>
    <x v="7"/>
    <s v="David Smith"/>
    <x v="4"/>
    <x v="0"/>
    <x v="0"/>
    <n v="2"/>
    <n v="240000"/>
    <n v="35000"/>
  </r>
  <r>
    <n v="8009"/>
    <x v="8"/>
    <s v="Sarah Williams"/>
    <x v="3"/>
    <x v="1"/>
    <x v="1"/>
    <n v="1"/>
    <n v="90000"/>
    <n v="18000"/>
  </r>
  <r>
    <n v="8010"/>
    <x v="9"/>
    <s v="John Doe"/>
    <x v="0"/>
    <x v="0"/>
    <x v="0"/>
    <n v="-1"/>
    <n v="500000"/>
    <n v="70000"/>
  </r>
  <r>
    <n v="8011"/>
    <x v="10"/>
    <s v="Peter Parker"/>
    <x v="4"/>
    <x v="0"/>
    <x v="0"/>
    <n v="2"/>
    <n v="240000"/>
    <n v="35000"/>
  </r>
  <r>
    <n v="8012"/>
    <x v="11"/>
    <s v="Mary Jane"/>
    <x v="1"/>
    <x v="0"/>
    <x v="1"/>
    <n v="1"/>
    <n v="150000"/>
    <n v="25000"/>
  </r>
  <r>
    <n v="8013"/>
    <x v="12"/>
    <s v="Grace Brown"/>
    <x v="3"/>
    <x v="1"/>
    <x v="2"/>
    <n v="3"/>
    <n v="270000"/>
    <n v="45000"/>
  </r>
  <r>
    <n v="8014"/>
    <x v="13"/>
    <s v="Sarah Williams"/>
    <x v="2"/>
    <x v="1"/>
    <x v="1"/>
    <n v="2"/>
    <n v="100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3AB1E-EF13-4728-9786-177B29779B0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x="1"/>
        <item x="0"/>
        <item x="2"/>
        <item t="default"/>
      </items>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
    </i>
    <i>
      <x v="4"/>
    </i>
    <i>
      <x v="1"/>
    </i>
    <i>
      <x/>
    </i>
    <i>
      <x v="3"/>
    </i>
    <i t="grand">
      <x/>
    </i>
  </rowItems>
  <colItems count="1">
    <i/>
  </colItems>
  <dataFields count="1">
    <dataField name="Sum of Profit" fld="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7943F2-883E-45C0-93F8-AB8FE95E5C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showAll="0">
      <items count="6">
        <item x="2"/>
        <item x="3"/>
        <item x="0"/>
        <item x="4"/>
        <item x="1"/>
        <item t="default"/>
      </items>
    </pivotField>
    <pivotField showAll="0">
      <items count="3">
        <item x="0"/>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i>
    <i>
      <x v="2"/>
    </i>
    <i t="grand">
      <x/>
    </i>
  </rowItems>
  <colItems count="1">
    <i/>
  </colItems>
  <dataFields count="1">
    <dataField name="Sum of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4F9473-C67F-4E95-8DC5-DD1EB67E0D4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E15"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showAll="0">
      <items count="6">
        <item x="2"/>
        <item x="3"/>
        <item x="0"/>
        <item x="4"/>
        <item x="1"/>
        <item t="default"/>
      </items>
    </pivotField>
    <pivotField showAll="0">
      <items count="3">
        <item x="0"/>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B4402-351F-4157-87D0-2B020CBC820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1"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showAll="0">
      <items count="6">
        <item x="2"/>
        <item x="3"/>
        <item x="0"/>
        <item x="4"/>
        <item x="1"/>
        <item t="default"/>
      </items>
    </pivotField>
    <pivotField showAll="0">
      <items count="3">
        <item x="0"/>
        <item x="1"/>
        <item t="default"/>
      </items>
    </pivotField>
    <pivotField showAll="0">
      <items count="4">
        <item x="1"/>
        <item x="0"/>
        <item x="2"/>
        <item t="default"/>
      </items>
    </pivotField>
    <pivotField showAll="0"/>
    <pivotField dataField="1"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
    <i>
      <x v="1"/>
    </i>
    <i>
      <x v="2"/>
    </i>
    <i>
      <x v="3"/>
    </i>
    <i t="grand">
      <x/>
    </i>
  </rowItems>
  <colItems count="1">
    <i/>
  </colItems>
  <dataFields count="1">
    <dataField name="Sum of Revenue" fld="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C46E81-7234-4E9F-A441-F81963570A2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x="1"/>
        <item x="0"/>
        <item x="2"/>
        <item t="default"/>
      </items>
    </pivotField>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
    </i>
    <i>
      <x v="4"/>
    </i>
    <i>
      <x v="1"/>
    </i>
    <i>
      <x v="3"/>
    </i>
    <i>
      <x/>
    </i>
    <i t="grand">
      <x/>
    </i>
  </rowItems>
  <colItems count="1">
    <i/>
  </colItems>
  <dataFields count="1">
    <dataField name="Sum of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469FB7-F23E-4172-A853-C0B11E32259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7"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4">
        <item x="1"/>
        <item x="0"/>
        <item x="2"/>
        <item t="default"/>
      </items>
    </pivotField>
    <pivotField dataField="1"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4"/>
    </i>
    <i>
      <x v="1"/>
    </i>
    <i>
      <x v="3"/>
    </i>
    <i>
      <x v="2"/>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E65F44-E5A5-4129-BAD7-0114213DFF8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showAll="0"/>
    <pivotField numFmtId="22" showAll="0">
      <items count="15">
        <item x="0"/>
        <item x="1"/>
        <item x="2"/>
        <item x="3"/>
        <item x="4"/>
        <item x="5"/>
        <item x="6"/>
        <item x="7"/>
        <item x="8"/>
        <item x="9"/>
        <item x="10"/>
        <item x="11"/>
        <item x="12"/>
        <item x="13"/>
        <item t="default"/>
      </items>
    </pivotField>
    <pivotField showAll="0"/>
    <pivotField showAll="0">
      <items count="6">
        <item x="2"/>
        <item x="3"/>
        <item x="0"/>
        <item x="4"/>
        <item x="1"/>
        <item t="default"/>
      </items>
    </pivotField>
    <pivotField showAll="0">
      <items count="3">
        <item x="0"/>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i>
    <i>
      <x v="2"/>
    </i>
    <i t="grand">
      <x/>
    </i>
  </rowItems>
  <colItems count="1">
    <i/>
  </colItems>
  <dataFields count="1">
    <dataField name="Sum of Revenue" fld="7" baseField="0"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CF1495-069B-4743-97AE-E88782EEF2B3}"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Customer" tableColumnId="3"/>
      <queryTableField id="4" name="Product" tableColumnId="4"/>
      <queryTableField id="5" name="Category" tableColumnId="5"/>
      <queryTableField id="6" name="Region" tableColumnId="6"/>
      <queryTableField id="7" name="Quantity" tableColumnId="7"/>
      <queryTableField id="8" name="Revenue"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807A5FA-EAAC-498C-86CB-F3813EABF5CF}" sourceName="Product">
  <pivotTables>
    <pivotTable tabId="18" name="PivotTable1"/>
    <pivotTable tabId="18" name="PivotTable11"/>
    <pivotTable tabId="18" name="PivotTable2"/>
    <pivotTable tabId="18" name="PivotTable3"/>
    <pivotTable tabId="18" name="PivotTable4"/>
    <pivotTable tabId="18" name="PivotTable5"/>
    <pivotTable tabId="18" name="PivotTable9"/>
  </pivotTables>
  <data>
    <tabular pivotCacheId="149162462">
      <items count="5">
        <i x="2" s="1"/>
        <i x="3"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895B88-2163-4AE8-9D28-BFECD2B6BD40}" sourceName="Category">
  <pivotTables>
    <pivotTable tabId="18" name="PivotTable1"/>
    <pivotTable tabId="18" name="PivotTable11"/>
    <pivotTable tabId="18" name="PivotTable2"/>
    <pivotTable tabId="18" name="PivotTable3"/>
    <pivotTable tabId="18" name="PivotTable4"/>
    <pivotTable tabId="18" name="PivotTable5"/>
    <pivotTable tabId="18" name="PivotTable9"/>
  </pivotTables>
  <data>
    <tabular pivotCacheId="1491624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197822-9B0C-4716-AE75-05E12088A260}" sourceName="Region">
  <pivotTables>
    <pivotTable tabId="18" name="PivotTable1"/>
    <pivotTable tabId="18" name="PivotTable11"/>
    <pivotTable tabId="18" name="PivotTable2"/>
    <pivotTable tabId="18" name="PivotTable3"/>
    <pivotTable tabId="18" name="PivotTable4"/>
    <pivotTable tabId="18" name="PivotTable5"/>
    <pivotTable tabId="18" name="PivotTable9"/>
  </pivotTables>
  <data>
    <tabular pivotCacheId="14916246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AC68216-4894-433C-8577-1867935D660D}" cache="Slicer_Product" caption="Product" startItem="1" rowHeight="241300"/>
  <slicer name="Category" xr10:uid="{DFE6AFFB-3445-44B0-B560-E62714CBB601}" cache="Slicer_Category" caption="Category" startItem="1" rowHeight="241300"/>
  <slicer name="Region" xr10:uid="{9A3D9EA3-E590-442E-96E1-D6F3553AE99F}" cache="Slicer_Region" caption="Region" startItem="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AAEFA6-1ABF-45D9-9967-59C8408A60EC}" name="SalesData1" displayName="SalesData1" ref="A1:I16" tableType="queryTable" totalsRowCount="1">
  <autoFilter ref="A1:I15" xr:uid="{91AAEFA6-1ABF-45D9-9967-59C8408A60EC}"/>
  <tableColumns count="9">
    <tableColumn id="1" xr3:uid="{AE6B411C-0C8D-415B-8499-FF022018BDEA}" uniqueName="1" name="Order ID" queryTableFieldId="1"/>
    <tableColumn id="2" xr3:uid="{1A13CA6D-D4C0-42B7-B9DC-429C790DBCAB}" uniqueName="2" name="Order Date" queryTableFieldId="2" dataDxfId="9" totalsRowDxfId="8"/>
    <tableColumn id="3" xr3:uid="{D14C5831-29EC-4B42-A775-3060AA6AF8CA}" uniqueName="3" name="Customer" queryTableFieldId="3" dataDxfId="7"/>
    <tableColumn id="4" xr3:uid="{3C1FDAE1-5B0A-4CD0-A8ED-11BF61F2017D}" uniqueName="4" name="Product" queryTableFieldId="4" dataDxfId="6"/>
    <tableColumn id="5" xr3:uid="{BC037F6E-737C-4194-9584-85DB09EA52D9}" uniqueName="5" name="Category" queryTableFieldId="5" dataDxfId="5"/>
    <tableColumn id="6" xr3:uid="{CB36B945-B141-4B26-89F3-8BB1D2605B77}" uniqueName="6" name="Region" queryTableFieldId="6" dataDxfId="4"/>
    <tableColumn id="7" xr3:uid="{220A47A8-A1AE-4E09-920D-22690473BDEB}" uniqueName="7" name="Quantity" totalsRowFunction="custom" queryTableFieldId="7">
      <totalsRowFormula>SUM(SalesData1[Quantity])</totalsRowFormula>
    </tableColumn>
    <tableColumn id="8" xr3:uid="{D1AE61F4-8BD5-4B5C-8359-99B35BD1F27D}" uniqueName="8" name="Revenue" totalsRowFunction="custom" queryTableFieldId="8" dataDxfId="3" totalsRowDxfId="2">
      <totalsRowFormula>SUM(SalesData1[Revenue])</totalsRowFormula>
    </tableColumn>
    <tableColumn id="9" xr3:uid="{AAE32DB0-9D8A-4F85-B81C-85D074F9D032}" uniqueName="9" name="Profit" totalsRowFunction="custom" queryTableFieldId="9" dataDxfId="1" totalsRowDxfId="0">
      <totalsRowFormula>SUM(SalesData1[Profit])</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9F5C-29D8-46E3-94C9-72522D146B2A}">
  <dimension ref="A3:H29"/>
  <sheetViews>
    <sheetView topLeftCell="A12" workbookViewId="0">
      <selection activeCell="C9" sqref="C9"/>
    </sheetView>
  </sheetViews>
  <sheetFormatPr defaultRowHeight="15" x14ac:dyDescent="0.25"/>
  <cols>
    <col min="1" max="1" width="13.140625" bestFit="1" customWidth="1"/>
    <col min="2" max="2" width="15.5703125" bestFit="1" customWidth="1"/>
    <col min="3" max="3" width="12.5703125" bestFit="1" customWidth="1"/>
    <col min="4" max="4" width="13.140625" bestFit="1" customWidth="1"/>
    <col min="5" max="6" width="15.42578125" bestFit="1" customWidth="1"/>
    <col min="7" max="7" width="13.140625" bestFit="1" customWidth="1"/>
    <col min="8" max="8" width="12.5703125" bestFit="1" customWidth="1"/>
    <col min="9" max="9" width="15.42578125" bestFit="1" customWidth="1"/>
  </cols>
  <sheetData>
    <row r="3" spans="1:8" x14ac:dyDescent="0.25">
      <c r="A3" s="8" t="s">
        <v>25</v>
      </c>
      <c r="B3" t="s">
        <v>24</v>
      </c>
      <c r="D3" s="8" t="s">
        <v>25</v>
      </c>
      <c r="E3" t="s">
        <v>24</v>
      </c>
      <c r="G3" s="8" t="s">
        <v>25</v>
      </c>
      <c r="H3" t="s">
        <v>27</v>
      </c>
    </row>
    <row r="4" spans="1:8" x14ac:dyDescent="0.25">
      <c r="A4" s="9" t="s">
        <v>10</v>
      </c>
      <c r="B4" s="5">
        <v>2430000</v>
      </c>
      <c r="D4" s="9" t="s">
        <v>8</v>
      </c>
      <c r="E4" s="5">
        <v>1500000</v>
      </c>
      <c r="G4" s="9" t="s">
        <v>8</v>
      </c>
      <c r="H4" s="5">
        <v>210000</v>
      </c>
    </row>
    <row r="5" spans="1:8" x14ac:dyDescent="0.25">
      <c r="A5" s="9" t="s">
        <v>12</v>
      </c>
      <c r="B5" s="5">
        <v>940000</v>
      </c>
      <c r="D5" s="9" t="s">
        <v>11</v>
      </c>
      <c r="E5" s="5">
        <v>900000</v>
      </c>
      <c r="G5" s="9" t="s">
        <v>11</v>
      </c>
      <c r="H5" s="5">
        <v>150000</v>
      </c>
    </row>
    <row r="6" spans="1:8" x14ac:dyDescent="0.25">
      <c r="A6" s="9" t="s">
        <v>16</v>
      </c>
      <c r="B6" s="5">
        <v>450000</v>
      </c>
      <c r="D6" s="9" t="s">
        <v>15</v>
      </c>
      <c r="E6" s="5">
        <v>540000</v>
      </c>
      <c r="G6" s="9" t="s">
        <v>15</v>
      </c>
      <c r="H6" s="5">
        <v>93000</v>
      </c>
    </row>
    <row r="7" spans="1:8" x14ac:dyDescent="0.25">
      <c r="A7" s="9" t="s">
        <v>26</v>
      </c>
      <c r="B7" s="5">
        <v>3820000</v>
      </c>
      <c r="D7" s="9" t="s">
        <v>17</v>
      </c>
      <c r="E7" s="5">
        <v>480000</v>
      </c>
      <c r="G7" s="9" t="s">
        <v>13</v>
      </c>
      <c r="H7" s="5">
        <v>80000</v>
      </c>
    </row>
    <row r="8" spans="1:8" x14ac:dyDescent="0.25">
      <c r="D8" s="9" t="s">
        <v>13</v>
      </c>
      <c r="E8" s="5">
        <v>400000</v>
      </c>
      <c r="G8" s="9" t="s">
        <v>17</v>
      </c>
      <c r="H8" s="5">
        <v>70000</v>
      </c>
    </row>
    <row r="9" spans="1:8" x14ac:dyDescent="0.25">
      <c r="D9" s="9" t="s">
        <v>26</v>
      </c>
      <c r="E9" s="5">
        <v>3820000</v>
      </c>
      <c r="G9" s="9" t="s">
        <v>26</v>
      </c>
      <c r="H9" s="5">
        <v>603000</v>
      </c>
    </row>
    <row r="10" spans="1:8" x14ac:dyDescent="0.25">
      <c r="A10" s="8" t="s">
        <v>25</v>
      </c>
      <c r="B10" t="s">
        <v>27</v>
      </c>
    </row>
    <row r="11" spans="1:8" x14ac:dyDescent="0.25">
      <c r="A11" s="9" t="s">
        <v>10</v>
      </c>
      <c r="B11" s="5">
        <v>355000</v>
      </c>
      <c r="D11" s="8" t="s">
        <v>25</v>
      </c>
      <c r="E11" t="s">
        <v>35</v>
      </c>
      <c r="G11" s="8" t="s">
        <v>25</v>
      </c>
      <c r="H11" t="s">
        <v>35</v>
      </c>
    </row>
    <row r="12" spans="1:8" x14ac:dyDescent="0.25">
      <c r="A12" s="9" t="s">
        <v>12</v>
      </c>
      <c r="B12" s="5">
        <v>173000</v>
      </c>
      <c r="D12" s="9" t="s">
        <v>12</v>
      </c>
      <c r="E12" s="17">
        <v>12</v>
      </c>
      <c r="G12" s="9" t="s">
        <v>13</v>
      </c>
      <c r="H12" s="17">
        <v>8</v>
      </c>
    </row>
    <row r="13" spans="1:8" x14ac:dyDescent="0.25">
      <c r="A13" s="9" t="s">
        <v>16</v>
      </c>
      <c r="B13" s="5">
        <v>75000</v>
      </c>
      <c r="D13" s="9" t="s">
        <v>10</v>
      </c>
      <c r="E13" s="17">
        <v>8</v>
      </c>
      <c r="G13" s="9" t="s">
        <v>11</v>
      </c>
      <c r="H13" s="17">
        <v>6</v>
      </c>
    </row>
    <row r="14" spans="1:8" x14ac:dyDescent="0.25">
      <c r="A14" s="9" t="s">
        <v>26</v>
      </c>
      <c r="B14" s="5">
        <v>603000</v>
      </c>
      <c r="D14" s="9" t="s">
        <v>16</v>
      </c>
      <c r="E14" s="17">
        <v>5</v>
      </c>
      <c r="G14" s="9" t="s">
        <v>15</v>
      </c>
      <c r="H14" s="17">
        <v>6</v>
      </c>
    </row>
    <row r="15" spans="1:8" x14ac:dyDescent="0.25">
      <c r="D15" s="9" t="s">
        <v>26</v>
      </c>
      <c r="E15" s="17">
        <v>25</v>
      </c>
      <c r="G15" s="9" t="s">
        <v>17</v>
      </c>
      <c r="H15" s="17">
        <v>4</v>
      </c>
    </row>
    <row r="16" spans="1:8" x14ac:dyDescent="0.25">
      <c r="G16" s="9" t="s">
        <v>8</v>
      </c>
      <c r="H16" s="17">
        <v>1</v>
      </c>
    </row>
    <row r="17" spans="1:8" x14ac:dyDescent="0.25">
      <c r="A17" s="8" t="s">
        <v>25</v>
      </c>
      <c r="B17" t="s">
        <v>24</v>
      </c>
      <c r="G17" s="9" t="s">
        <v>26</v>
      </c>
      <c r="H17" s="17">
        <v>25</v>
      </c>
    </row>
    <row r="18" spans="1:8" x14ac:dyDescent="0.25">
      <c r="A18" s="9" t="s">
        <v>28</v>
      </c>
      <c r="B18" s="5">
        <v>1300000</v>
      </c>
    </row>
    <row r="19" spans="1:8" x14ac:dyDescent="0.25">
      <c r="A19" s="9" t="s">
        <v>30</v>
      </c>
      <c r="B19" s="5">
        <v>830000</v>
      </c>
      <c r="G19" s="9" t="s">
        <v>36</v>
      </c>
    </row>
    <row r="20" spans="1:8" x14ac:dyDescent="0.25">
      <c r="A20" s="9" t="s">
        <v>29</v>
      </c>
      <c r="B20" s="5">
        <v>1690000</v>
      </c>
      <c r="H20" s="7">
        <f>GETPIVOTDATA("Revenue",$D$3,"Product","Laptop")/GETPIVOTDATA("Revenue",$D$3)</f>
        <v>0.39267015706806285</v>
      </c>
    </row>
    <row r="21" spans="1:8" x14ac:dyDescent="0.25">
      <c r="A21" s="9" t="s">
        <v>26</v>
      </c>
      <c r="B21" s="5">
        <v>3820000</v>
      </c>
      <c r="G21" s="9" t="s">
        <v>37</v>
      </c>
    </row>
    <row r="22" spans="1:8" x14ac:dyDescent="0.25">
      <c r="H22" s="7">
        <f>GETPIVOTDATA("Profit",$G$3,"Product","Laptop")/GETPIVOTDATA("Profit",$G$3)</f>
        <v>0.34825870646766172</v>
      </c>
    </row>
    <row r="23" spans="1:8" x14ac:dyDescent="0.25">
      <c r="B23" t="s">
        <v>40</v>
      </c>
      <c r="E23" s="7" t="s">
        <v>39</v>
      </c>
      <c r="G23" t="s">
        <v>38</v>
      </c>
    </row>
    <row r="24" spans="1:8" x14ac:dyDescent="0.25">
      <c r="C24" s="5">
        <f>GETPIVOTDATA("Revenue",$A$3,"Region","Abuja")/6</f>
        <v>156666.66666666666</v>
      </c>
      <c r="F24" s="7">
        <f>GETPIVOTDATA("Profit",$G$3,"Product","Laptop")/GETPIVOTDATA("Revenue",$D$3,"Product","Laptop")</f>
        <v>0.14000000000000001</v>
      </c>
      <c r="H24" s="7">
        <f>GETPIVOTDATA("Profit",$G$3,"Product","Phone")/GETPIVOTDATA("Revenue",$D$3,"Product","Phone")</f>
        <v>0.16666666666666666</v>
      </c>
    </row>
    <row r="25" spans="1:8" x14ac:dyDescent="0.25">
      <c r="B25" t="s">
        <v>41</v>
      </c>
      <c r="D25" t="s">
        <v>42</v>
      </c>
      <c r="E25" t="s">
        <v>43</v>
      </c>
      <c r="G25" t="s">
        <v>44</v>
      </c>
    </row>
    <row r="26" spans="1:8" x14ac:dyDescent="0.25">
      <c r="C26" s="5">
        <f>GETPIVOTDATA("Revenue",$A$3,"Region","Lagos")/6</f>
        <v>405000</v>
      </c>
      <c r="D26" s="7">
        <f>GETPIVOTDATA("Profit",$A$10,"Region","Abuja")/GETPIVOTDATA("Revenue",$A$3,"Region","Abuja")</f>
        <v>0.18404255319148935</v>
      </c>
      <c r="E26" s="7">
        <f>GETPIVOTDATA("Profit",$A$10,"Region","Lagos")/GETPIVOTDATA("Revenue",$A$3,"Region","Lagos")</f>
        <v>0.14609053497942387</v>
      </c>
      <c r="G26" s="7">
        <f>GETPIVOTDATA("Profit",$A$10,"Region","Port Harcourt")/GETPIVOTDATA("Revenue",$A$3,"Region","Port Harcourt")</f>
        <v>0.16666666666666666</v>
      </c>
    </row>
    <row r="28" spans="1:8" x14ac:dyDescent="0.25">
      <c r="D28" t="s">
        <v>45</v>
      </c>
    </row>
    <row r="29" spans="1:8" x14ac:dyDescent="0.25">
      <c r="E29" s="7">
        <f>GETPIVOTDATA("Revenue",$A$3,"Region","Lagos")/GETPIVOTDATA("Revenue",$A$3)</f>
        <v>0.63612565445026181</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5DA6-9E22-4650-8B7F-3439E7F2E1B6}">
  <dimension ref="A1:J22"/>
  <sheetViews>
    <sheetView tabSelected="1" topLeftCell="A6" workbookViewId="0">
      <selection activeCell="F23" sqref="F23"/>
    </sheetView>
  </sheetViews>
  <sheetFormatPr defaultRowHeight="15" x14ac:dyDescent="0.25"/>
  <cols>
    <col min="1" max="1" width="10.7109375" bestFit="1" customWidth="1"/>
    <col min="2" max="2" width="15.85546875" bestFit="1" customWidth="1"/>
    <col min="3" max="3" width="14.140625" bestFit="1" customWidth="1"/>
    <col min="4" max="4" width="10.140625" bestFit="1" customWidth="1"/>
    <col min="5" max="5" width="11.140625" bestFit="1" customWidth="1"/>
    <col min="6" max="6" width="12.7109375" bestFit="1" customWidth="1"/>
    <col min="7" max="7" width="11" bestFit="1" customWidth="1"/>
    <col min="8" max="8" width="11.5703125" style="5" bestFit="1" customWidth="1"/>
    <col min="9" max="9" width="10.5703125" style="5" bestFit="1" customWidth="1"/>
  </cols>
  <sheetData>
    <row r="1" spans="1:9" x14ac:dyDescent="0.25">
      <c r="A1" t="s">
        <v>0</v>
      </c>
      <c r="B1" t="s">
        <v>32</v>
      </c>
      <c r="C1" t="s">
        <v>1</v>
      </c>
      <c r="D1" t="s">
        <v>2</v>
      </c>
      <c r="E1" t="s">
        <v>3</v>
      </c>
      <c r="F1" t="s">
        <v>4</v>
      </c>
      <c r="G1" t="s">
        <v>5</v>
      </c>
      <c r="H1" s="5" t="s">
        <v>6</v>
      </c>
      <c r="I1" s="5" t="s">
        <v>7</v>
      </c>
    </row>
    <row r="2" spans="1:9" x14ac:dyDescent="0.25">
      <c r="A2">
        <v>8001</v>
      </c>
      <c r="B2" s="10">
        <v>46027</v>
      </c>
      <c r="C2" t="s">
        <v>18</v>
      </c>
      <c r="D2" t="s">
        <v>8</v>
      </c>
      <c r="E2" t="s">
        <v>9</v>
      </c>
      <c r="F2" t="s">
        <v>10</v>
      </c>
      <c r="G2">
        <v>1</v>
      </c>
      <c r="H2" s="5">
        <v>500000</v>
      </c>
      <c r="I2" s="5">
        <v>70000</v>
      </c>
    </row>
    <row r="3" spans="1:9" x14ac:dyDescent="0.25">
      <c r="A3">
        <v>8002</v>
      </c>
      <c r="B3" s="10">
        <v>46030</v>
      </c>
      <c r="C3" t="s">
        <v>19</v>
      </c>
      <c r="D3" t="s">
        <v>11</v>
      </c>
      <c r="E3" t="s">
        <v>9</v>
      </c>
      <c r="F3" t="s">
        <v>12</v>
      </c>
      <c r="G3">
        <v>2</v>
      </c>
      <c r="H3" s="5">
        <v>300000</v>
      </c>
      <c r="I3" s="5">
        <v>50000</v>
      </c>
    </row>
    <row r="4" spans="1:9" x14ac:dyDescent="0.25">
      <c r="A4">
        <v>8003</v>
      </c>
      <c r="B4" s="10">
        <v>46034</v>
      </c>
      <c r="C4" t="s">
        <v>20</v>
      </c>
      <c r="D4" t="s">
        <v>8</v>
      </c>
      <c r="E4" t="s">
        <v>9</v>
      </c>
      <c r="F4" t="s">
        <v>10</v>
      </c>
      <c r="G4">
        <v>1</v>
      </c>
      <c r="H4" s="5">
        <v>500000</v>
      </c>
      <c r="I4" s="5">
        <v>70000</v>
      </c>
    </row>
    <row r="5" spans="1:9" x14ac:dyDescent="0.25">
      <c r="A5">
        <v>8004</v>
      </c>
      <c r="B5" s="10">
        <v>46055</v>
      </c>
      <c r="C5" t="s">
        <v>21</v>
      </c>
      <c r="D5" t="s">
        <v>13</v>
      </c>
      <c r="E5" t="s">
        <v>14</v>
      </c>
      <c r="F5" t="s">
        <v>12</v>
      </c>
      <c r="G5">
        <v>4</v>
      </c>
      <c r="H5" s="5">
        <v>200000</v>
      </c>
      <c r="I5" s="5">
        <v>40000</v>
      </c>
    </row>
    <row r="6" spans="1:9" x14ac:dyDescent="0.25">
      <c r="A6">
        <v>8005</v>
      </c>
      <c r="B6" s="10">
        <v>46063</v>
      </c>
      <c r="C6" t="s">
        <v>22</v>
      </c>
      <c r="D6" t="s">
        <v>11</v>
      </c>
      <c r="E6" t="s">
        <v>9</v>
      </c>
      <c r="F6" t="s">
        <v>10</v>
      </c>
      <c r="G6">
        <v>3</v>
      </c>
      <c r="H6" s="5">
        <v>450000</v>
      </c>
      <c r="I6" s="5">
        <v>75000</v>
      </c>
    </row>
    <row r="7" spans="1:9" x14ac:dyDescent="0.25">
      <c r="A7">
        <v>8006</v>
      </c>
      <c r="B7" s="10">
        <v>46068</v>
      </c>
      <c r="C7" t="s">
        <v>23</v>
      </c>
      <c r="D7" t="s">
        <v>15</v>
      </c>
      <c r="E7" t="s">
        <v>14</v>
      </c>
      <c r="F7" t="s">
        <v>16</v>
      </c>
      <c r="G7">
        <v>2</v>
      </c>
      <c r="H7" s="5">
        <v>180000</v>
      </c>
      <c r="I7" s="5">
        <v>30000</v>
      </c>
    </row>
    <row r="8" spans="1:9" x14ac:dyDescent="0.25">
      <c r="A8">
        <v>8007</v>
      </c>
      <c r="B8" s="10">
        <v>46084</v>
      </c>
      <c r="C8" t="s">
        <v>19</v>
      </c>
      <c r="D8" t="s">
        <v>13</v>
      </c>
      <c r="E8" t="s">
        <v>14</v>
      </c>
      <c r="F8" t="s">
        <v>12</v>
      </c>
      <c r="G8">
        <v>2</v>
      </c>
      <c r="H8" s="5">
        <v>100000</v>
      </c>
      <c r="I8" s="5">
        <v>20000</v>
      </c>
    </row>
    <row r="9" spans="1:9" x14ac:dyDescent="0.25">
      <c r="A9">
        <v>8008</v>
      </c>
      <c r="B9" s="10">
        <v>46090</v>
      </c>
      <c r="C9" t="s">
        <v>20</v>
      </c>
      <c r="D9" t="s">
        <v>17</v>
      </c>
      <c r="E9" t="s">
        <v>9</v>
      </c>
      <c r="F9" t="s">
        <v>10</v>
      </c>
      <c r="G9">
        <v>2</v>
      </c>
      <c r="H9" s="5">
        <v>240000</v>
      </c>
      <c r="I9" s="5">
        <v>35000</v>
      </c>
    </row>
    <row r="10" spans="1:9" x14ac:dyDescent="0.25">
      <c r="A10">
        <v>8009</v>
      </c>
      <c r="B10" s="10">
        <v>46101</v>
      </c>
      <c r="C10" t="s">
        <v>21</v>
      </c>
      <c r="D10" t="s">
        <v>15</v>
      </c>
      <c r="E10" t="s">
        <v>14</v>
      </c>
      <c r="F10" t="s">
        <v>12</v>
      </c>
      <c r="G10">
        <v>1</v>
      </c>
      <c r="H10" s="5">
        <v>90000</v>
      </c>
      <c r="I10" s="5">
        <v>18000</v>
      </c>
    </row>
    <row r="11" spans="1:9" x14ac:dyDescent="0.25">
      <c r="A11">
        <v>8010</v>
      </c>
      <c r="B11" s="10">
        <v>46103</v>
      </c>
      <c r="C11" t="s">
        <v>18</v>
      </c>
      <c r="D11" t="s">
        <v>8</v>
      </c>
      <c r="E11" t="s">
        <v>9</v>
      </c>
      <c r="F11" t="s">
        <v>10</v>
      </c>
      <c r="G11">
        <v>-1</v>
      </c>
      <c r="H11" s="5">
        <v>500000</v>
      </c>
      <c r="I11" s="5">
        <v>70000</v>
      </c>
    </row>
    <row r="12" spans="1:9" x14ac:dyDescent="0.25">
      <c r="A12">
        <v>8011</v>
      </c>
      <c r="B12" s="10">
        <v>46106</v>
      </c>
      <c r="C12" t="s">
        <v>22</v>
      </c>
      <c r="D12" t="s">
        <v>17</v>
      </c>
      <c r="E12" t="s">
        <v>9</v>
      </c>
      <c r="F12" t="s">
        <v>10</v>
      </c>
      <c r="G12">
        <v>2</v>
      </c>
      <c r="H12" s="5">
        <v>240000</v>
      </c>
      <c r="I12" s="5">
        <v>35000</v>
      </c>
    </row>
    <row r="13" spans="1:9" x14ac:dyDescent="0.25">
      <c r="A13">
        <v>8012</v>
      </c>
      <c r="B13" s="10">
        <v>46108</v>
      </c>
      <c r="C13" t="s">
        <v>19</v>
      </c>
      <c r="D13" t="s">
        <v>11</v>
      </c>
      <c r="E13" t="s">
        <v>9</v>
      </c>
      <c r="F13" t="s">
        <v>12</v>
      </c>
      <c r="G13">
        <v>1</v>
      </c>
      <c r="H13" s="5">
        <v>150000</v>
      </c>
      <c r="I13" s="5">
        <v>25000</v>
      </c>
    </row>
    <row r="14" spans="1:9" x14ac:dyDescent="0.25">
      <c r="A14">
        <v>8013</v>
      </c>
      <c r="B14" s="10">
        <v>46109</v>
      </c>
      <c r="C14" t="s">
        <v>23</v>
      </c>
      <c r="D14" t="s">
        <v>15</v>
      </c>
      <c r="E14" t="s">
        <v>14</v>
      </c>
      <c r="F14" t="s">
        <v>16</v>
      </c>
      <c r="G14">
        <v>3</v>
      </c>
      <c r="H14" s="5">
        <v>270000</v>
      </c>
      <c r="I14" s="5">
        <v>45000</v>
      </c>
    </row>
    <row r="15" spans="1:9" x14ac:dyDescent="0.25">
      <c r="A15">
        <v>8014</v>
      </c>
      <c r="B15" s="10">
        <v>46110</v>
      </c>
      <c r="C15" t="s">
        <v>21</v>
      </c>
      <c r="D15" t="s">
        <v>13</v>
      </c>
      <c r="E15" t="s">
        <v>14</v>
      </c>
      <c r="F15" t="s">
        <v>12</v>
      </c>
      <c r="G15">
        <v>2</v>
      </c>
      <c r="H15" s="5">
        <v>100000</v>
      </c>
      <c r="I15" s="5">
        <v>20000</v>
      </c>
    </row>
    <row r="16" spans="1:9" x14ac:dyDescent="0.25">
      <c r="B16" s="10"/>
      <c r="G16">
        <f>SUM(SalesData1[Quantity])</f>
        <v>25</v>
      </c>
      <c r="H16" s="5">
        <f>SUM(SalesData1[Revenue])</f>
        <v>3820000</v>
      </c>
      <c r="I16" s="5">
        <f>SUM(SalesData1[Profit])</f>
        <v>603000</v>
      </c>
    </row>
    <row r="18" spans="7:10" x14ac:dyDescent="0.25">
      <c r="G18" t="s">
        <v>31</v>
      </c>
      <c r="I18" s="7">
        <f>SalesData1[[#Totals],[Profit]]/SalesData1[[#Totals],[Revenue]]</f>
        <v>0.15785340314136126</v>
      </c>
    </row>
    <row r="20" spans="7:10" x14ac:dyDescent="0.25">
      <c r="G20" t="s">
        <v>34</v>
      </c>
      <c r="I20" s="5">
        <f>AVERAGE(SalesData1[Revenue])</f>
        <v>272857.14285714284</v>
      </c>
      <c r="J20" s="5"/>
    </row>
    <row r="22" spans="7:10" x14ac:dyDescent="0.25">
      <c r="G22" t="s">
        <v>33</v>
      </c>
      <c r="I22" s="5">
        <f>AVERAGE(SalesData1[Profit])</f>
        <v>43071.428571428572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FAE9-C618-48E3-BBEF-76A7621314C9}">
  <sheetPr>
    <pageSetUpPr fitToPage="1"/>
  </sheetPr>
  <dimension ref="A1:I16"/>
  <sheetViews>
    <sheetView showGridLines="0" zoomScale="89" zoomScaleNormal="89" workbookViewId="0">
      <selection activeCell="G3" sqref="G3"/>
    </sheetView>
  </sheetViews>
  <sheetFormatPr defaultRowHeight="15" x14ac:dyDescent="0.25"/>
  <cols>
    <col min="1" max="1" width="8.42578125" bestFit="1" customWidth="1"/>
    <col min="2" max="2" width="19.5703125" customWidth="1"/>
    <col min="3" max="3" width="19.42578125" customWidth="1"/>
    <col min="4" max="4" width="16.42578125" customWidth="1"/>
    <col min="5" max="5" width="26.28515625" bestFit="1" customWidth="1"/>
    <col min="6" max="6" width="18.28515625" customWidth="1"/>
    <col min="7" max="7" width="19.85546875" customWidth="1"/>
    <col min="8" max="8" width="20.7109375" bestFit="1" customWidth="1"/>
    <col min="9" max="9" width="18.140625" customWidth="1"/>
  </cols>
  <sheetData>
    <row r="1" spans="1:9" ht="19.5" customHeight="1" x14ac:dyDescent="0.35">
      <c r="A1" s="2"/>
      <c r="B1" s="1"/>
      <c r="C1" s="1"/>
      <c r="D1" s="13" t="s">
        <v>50</v>
      </c>
      <c r="E1" s="12"/>
      <c r="F1" s="1"/>
      <c r="G1" s="2"/>
      <c r="H1" s="2"/>
      <c r="I1" s="2"/>
    </row>
    <row r="2" spans="1:9" x14ac:dyDescent="0.25">
      <c r="A2" s="6"/>
      <c r="B2" s="4"/>
      <c r="C2" s="3"/>
      <c r="D2" s="3"/>
      <c r="E2" s="15" t="s">
        <v>47</v>
      </c>
      <c r="F2" s="14" t="s">
        <v>46</v>
      </c>
      <c r="G2" s="14" t="s">
        <v>48</v>
      </c>
      <c r="H2" s="15" t="s">
        <v>49</v>
      </c>
    </row>
    <row r="3" spans="1:9" ht="41.25" customHeight="1" x14ac:dyDescent="0.25">
      <c r="A3" s="6"/>
      <c r="B3" s="4"/>
      <c r="C3" s="3"/>
      <c r="E3" s="11">
        <f>SUM(SalesData1[Revenue])</f>
        <v>3820000</v>
      </c>
      <c r="F3" s="11">
        <f>SUM(SalesData1[Profit])</f>
        <v>603000</v>
      </c>
      <c r="G3" s="18">
        <f>F3/E3</f>
        <v>0.15785340314136126</v>
      </c>
      <c r="H3" s="16">
        <v>14</v>
      </c>
      <c r="I3" s="6"/>
    </row>
    <row r="4" spans="1:9" x14ac:dyDescent="0.25">
      <c r="A4" s="6"/>
      <c r="B4" s="4"/>
      <c r="C4" s="3"/>
      <c r="D4" s="3"/>
      <c r="E4" s="3"/>
      <c r="F4" s="3"/>
      <c r="G4" s="6"/>
      <c r="H4" s="6"/>
      <c r="I4" s="6"/>
    </row>
    <row r="5" spans="1:9" x14ac:dyDescent="0.25">
      <c r="A5" s="6"/>
      <c r="B5" s="4"/>
      <c r="C5" s="3"/>
      <c r="D5" s="3"/>
      <c r="E5" s="3"/>
      <c r="F5" s="3"/>
      <c r="G5" s="6"/>
      <c r="H5" s="6"/>
      <c r="I5" s="6"/>
    </row>
    <row r="6" spans="1:9" x14ac:dyDescent="0.25">
      <c r="A6" s="6"/>
      <c r="B6" s="4"/>
      <c r="C6" s="3"/>
      <c r="D6" s="3"/>
      <c r="E6" s="3"/>
      <c r="F6" s="3"/>
      <c r="G6" s="6"/>
      <c r="H6" s="6"/>
      <c r="I6" s="6"/>
    </row>
    <row r="7" spans="1:9" x14ac:dyDescent="0.25">
      <c r="A7" s="6"/>
      <c r="B7" s="4"/>
      <c r="C7" s="3"/>
      <c r="D7" s="3"/>
      <c r="E7" s="3"/>
      <c r="F7" s="3"/>
      <c r="G7" s="6"/>
      <c r="H7" s="6"/>
      <c r="I7" s="6"/>
    </row>
    <row r="8" spans="1:9" x14ac:dyDescent="0.25">
      <c r="A8" s="6"/>
      <c r="B8" s="4"/>
      <c r="C8" s="3"/>
      <c r="D8" s="3"/>
      <c r="E8" s="3"/>
      <c r="F8" s="3"/>
      <c r="G8" s="6"/>
      <c r="H8" s="6"/>
      <c r="I8" s="6"/>
    </row>
    <row r="9" spans="1:9" x14ac:dyDescent="0.25">
      <c r="A9" s="6"/>
      <c r="B9" s="4"/>
      <c r="C9" s="3"/>
      <c r="D9" s="3"/>
      <c r="E9" s="3"/>
      <c r="F9" s="3"/>
      <c r="G9" s="6"/>
      <c r="H9" s="6"/>
      <c r="I9" s="6"/>
    </row>
    <row r="10" spans="1:9" x14ac:dyDescent="0.25">
      <c r="A10" s="6"/>
      <c r="B10" s="4"/>
      <c r="C10" s="3"/>
      <c r="D10" s="3"/>
      <c r="E10" s="3"/>
      <c r="F10" s="3"/>
      <c r="G10" s="6"/>
      <c r="H10" s="6"/>
      <c r="I10" s="6"/>
    </row>
    <row r="11" spans="1:9" x14ac:dyDescent="0.25">
      <c r="A11" s="6"/>
      <c r="B11" s="4"/>
      <c r="C11" s="3"/>
      <c r="D11" s="3"/>
      <c r="E11" s="3"/>
      <c r="F11" s="3"/>
      <c r="G11" s="6"/>
      <c r="H11" s="6"/>
      <c r="I11" s="6"/>
    </row>
    <row r="12" spans="1:9" x14ac:dyDescent="0.25">
      <c r="A12" s="6"/>
      <c r="B12" s="4"/>
      <c r="C12" s="3"/>
      <c r="D12" s="3"/>
      <c r="E12" s="3"/>
      <c r="F12" s="3"/>
      <c r="G12" s="6"/>
      <c r="H12" s="6"/>
      <c r="I12" s="6"/>
    </row>
    <row r="13" spans="1:9" x14ac:dyDescent="0.25">
      <c r="A13" s="6"/>
      <c r="B13" s="4"/>
      <c r="C13" s="3"/>
      <c r="D13" s="3"/>
      <c r="E13" s="3"/>
      <c r="F13" s="3"/>
      <c r="G13" s="6"/>
      <c r="H13" s="6"/>
      <c r="I13" s="6"/>
    </row>
    <row r="14" spans="1:9" x14ac:dyDescent="0.25">
      <c r="A14" s="6"/>
      <c r="B14" s="4"/>
      <c r="C14" s="3"/>
      <c r="D14" s="3"/>
      <c r="E14" s="3"/>
      <c r="F14" s="3"/>
      <c r="G14" s="6"/>
      <c r="H14" s="6"/>
      <c r="I14" s="6"/>
    </row>
    <row r="15" spans="1:9" x14ac:dyDescent="0.25">
      <c r="A15" s="6"/>
      <c r="B15" s="4"/>
      <c r="C15" s="3"/>
      <c r="D15" s="3"/>
      <c r="E15" s="3"/>
      <c r="F15" s="3"/>
      <c r="G15" s="6"/>
      <c r="H15" s="6"/>
      <c r="I15" s="6"/>
    </row>
    <row r="16" spans="1:9" x14ac:dyDescent="0.25">
      <c r="A16" s="6"/>
      <c r="B16" s="4"/>
      <c r="C16" s="3"/>
      <c r="D16" s="3"/>
      <c r="E16" s="3"/>
      <c r="F16" s="3"/>
      <c r="G16" s="6"/>
      <c r="H16" s="6"/>
      <c r="I16" s="6"/>
    </row>
  </sheetData>
  <pageMargins left="0.7" right="0.7" top="0.75" bottom="0.75" header="0.3" footer="0.3"/>
  <pageSetup scale="7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209D90-224D-42B7-8C79-5F72A3646E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CleanDataset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1782 Waribere Godswill</dc:creator>
  <cp:lastModifiedBy>UK 1782 Waribere Godswill</cp:lastModifiedBy>
  <cp:lastPrinted>2026-10-07T15:49:22Z</cp:lastPrinted>
  <dcterms:created xsi:type="dcterms:W3CDTF">2026-09-02T12:51:55Z</dcterms:created>
  <dcterms:modified xsi:type="dcterms:W3CDTF">2026-10-20T14:38:43Z</dcterms:modified>
</cp:coreProperties>
</file>